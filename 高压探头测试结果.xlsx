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co.喵帕斯\Desktop\"/>
    </mc:Choice>
  </mc:AlternateContent>
  <xr:revisionPtr revIDLastSave="0" documentId="13_ncr:1_{E996EE36-2C72-4608-9FD0-8C52C811824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2" l="1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2" i="2"/>
  <c r="E2" i="2"/>
  <c r="E3" i="2"/>
  <c r="E4" i="2"/>
  <c r="E5" i="2"/>
  <c r="E6" i="2"/>
  <c r="E7" i="2"/>
  <c r="E8" i="2"/>
  <c r="E9" i="2"/>
  <c r="E10" i="2"/>
  <c r="E11" i="2"/>
  <c r="E12" i="2"/>
  <c r="J2" i="2"/>
  <c r="J3" i="2"/>
  <c r="J5" i="2"/>
  <c r="J6" i="2"/>
  <c r="J7" i="2"/>
  <c r="J8" i="2"/>
  <c r="J9" i="2"/>
  <c r="J10" i="2"/>
  <c r="J11" i="2"/>
  <c r="J12" i="2"/>
  <c r="J13" i="2"/>
  <c r="J14" i="2"/>
  <c r="J15" i="2"/>
  <c r="J4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18" i="2"/>
  <c r="D3" i="2"/>
  <c r="D4" i="2"/>
  <c r="D5" i="2"/>
  <c r="D6" i="2"/>
  <c r="D7" i="2"/>
  <c r="D8" i="2"/>
  <c r="D9" i="2"/>
  <c r="D10" i="2"/>
  <c r="D11" i="2"/>
  <c r="D12" i="2"/>
  <c r="D13" i="2"/>
  <c r="D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2" i="1"/>
  <c r="C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2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8" i="1"/>
  <c r="C9" i="1"/>
  <c r="C10" i="1"/>
  <c r="C3" i="1"/>
  <c r="C4" i="1"/>
  <c r="C5" i="1"/>
  <c r="C6" i="1"/>
  <c r="C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" i="1"/>
</calcChain>
</file>

<file path=xl/sharedStrings.xml><?xml version="1.0" encoding="utf-8"?>
<sst xmlns="http://schemas.openxmlformats.org/spreadsheetml/2006/main" count="59" uniqueCount="31">
  <si>
    <t>正信号输入（V）</t>
    <phoneticPr fontId="1" type="noConversion"/>
  </si>
  <si>
    <t>衰减输出(V)</t>
    <phoneticPr fontId="1" type="noConversion"/>
  </si>
  <si>
    <t>精度误差（%）</t>
    <phoneticPr fontId="1" type="noConversion"/>
  </si>
  <si>
    <t>理论基准输入（V）</t>
    <phoneticPr fontId="1" type="noConversion"/>
  </si>
  <si>
    <t>负信号输入（V）</t>
    <phoneticPr fontId="1" type="noConversion"/>
  </si>
  <si>
    <t>即：该探头在±1250V测量范围内均可保持约为2%的精度误差</t>
    <phoneticPr fontId="1" type="noConversion"/>
  </si>
  <si>
    <t>5M</t>
    <phoneticPr fontId="1" type="noConversion"/>
  </si>
  <si>
    <t>4M</t>
    <phoneticPr fontId="1" type="noConversion"/>
  </si>
  <si>
    <t>3M</t>
    <phoneticPr fontId="1" type="noConversion"/>
  </si>
  <si>
    <t>2M</t>
    <phoneticPr fontId="1" type="noConversion"/>
  </si>
  <si>
    <t>1M</t>
    <phoneticPr fontId="1" type="noConversion"/>
  </si>
  <si>
    <t>500K</t>
    <phoneticPr fontId="1" type="noConversion"/>
  </si>
  <si>
    <t>100K</t>
    <phoneticPr fontId="1" type="noConversion"/>
  </si>
  <si>
    <t>50K</t>
    <phoneticPr fontId="1" type="noConversion"/>
  </si>
  <si>
    <t>10K</t>
    <phoneticPr fontId="1" type="noConversion"/>
  </si>
  <si>
    <t>1K</t>
    <phoneticPr fontId="1" type="noConversion"/>
  </si>
  <si>
    <t>信号频率(HZ)</t>
    <phoneticPr fontId="1" type="noConversion"/>
  </si>
  <si>
    <t>输入方波（VPP）</t>
    <phoneticPr fontId="1" type="noConversion"/>
  </si>
  <si>
    <t>方波信号误差（%）</t>
    <phoneticPr fontId="1" type="noConversion"/>
  </si>
  <si>
    <t>输出信号-方波（VPP）</t>
    <phoneticPr fontId="1" type="noConversion"/>
  </si>
  <si>
    <t>输出信号-正弦（VPP）</t>
    <phoneticPr fontId="1" type="noConversion"/>
  </si>
  <si>
    <t>输入正弦（VPP）</t>
    <phoneticPr fontId="1" type="noConversion"/>
  </si>
  <si>
    <t>20M</t>
    <phoneticPr fontId="1" type="noConversion"/>
  </si>
  <si>
    <t>15M</t>
    <phoneticPr fontId="1" type="noConversion"/>
  </si>
  <si>
    <t>10M</t>
    <phoneticPr fontId="1" type="noConversion"/>
  </si>
  <si>
    <t>800K</t>
    <phoneticPr fontId="1" type="noConversion"/>
  </si>
  <si>
    <t>600K</t>
    <phoneticPr fontId="1" type="noConversion"/>
  </si>
  <si>
    <t>400K</t>
    <phoneticPr fontId="1" type="noConversion"/>
  </si>
  <si>
    <t>5K</t>
    <phoneticPr fontId="1" type="noConversion"/>
  </si>
  <si>
    <t>正弦信号误差(%)</t>
    <phoneticPr fontId="1" type="noConversion"/>
  </si>
  <si>
    <t>增益衰减比(db)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</si>
</sst>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_ "/>
    <numFmt numFmtId="178" formatCode="0.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4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177" fontId="0" fillId="0" borderId="0" xfId="0" applyNumberFormat="1"/>
    <xf numFmtId="178" fontId="0" fillId="0" borderId="0" xfId="0" applyNumberFormat="1"/>
    <xf numFmtId="178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正信号精度误差（</a:t>
            </a:r>
            <a:r>
              <a:rPr lang="en-US" altLang="zh-CN"/>
              <a:t>%</a:t>
            </a:r>
            <a:r>
              <a:rPr lang="zh-CN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精度误差（%）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Sheet1!$A$2:$A$40</c:f>
              <c:numCache>
                <c:formatCode>General</c:formatCode>
                <c:ptCount val="39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202</c:v>
                </c:pt>
                <c:pt idx="4">
                  <c:v>203</c:v>
                </c:pt>
                <c:pt idx="5">
                  <c:v>204</c:v>
                </c:pt>
                <c:pt idx="6">
                  <c:v>304</c:v>
                </c:pt>
                <c:pt idx="7">
                  <c:v>305</c:v>
                </c:pt>
                <c:pt idx="8">
                  <c:v>306</c:v>
                </c:pt>
                <c:pt idx="9">
                  <c:v>406</c:v>
                </c:pt>
                <c:pt idx="10">
                  <c:v>407</c:v>
                </c:pt>
                <c:pt idx="11">
                  <c:v>408</c:v>
                </c:pt>
                <c:pt idx="12">
                  <c:v>508</c:v>
                </c:pt>
                <c:pt idx="13">
                  <c:v>509</c:v>
                </c:pt>
                <c:pt idx="14">
                  <c:v>510</c:v>
                </c:pt>
                <c:pt idx="15">
                  <c:v>610</c:v>
                </c:pt>
                <c:pt idx="16">
                  <c:v>611</c:v>
                </c:pt>
                <c:pt idx="17">
                  <c:v>612</c:v>
                </c:pt>
                <c:pt idx="18">
                  <c:v>712</c:v>
                </c:pt>
                <c:pt idx="19">
                  <c:v>713</c:v>
                </c:pt>
                <c:pt idx="20">
                  <c:v>714</c:v>
                </c:pt>
                <c:pt idx="21">
                  <c:v>814</c:v>
                </c:pt>
                <c:pt idx="22">
                  <c:v>815</c:v>
                </c:pt>
                <c:pt idx="23">
                  <c:v>816</c:v>
                </c:pt>
                <c:pt idx="24">
                  <c:v>916</c:v>
                </c:pt>
                <c:pt idx="25">
                  <c:v>917</c:v>
                </c:pt>
                <c:pt idx="26">
                  <c:v>918</c:v>
                </c:pt>
                <c:pt idx="27">
                  <c:v>1018</c:v>
                </c:pt>
                <c:pt idx="28">
                  <c:v>1019</c:v>
                </c:pt>
                <c:pt idx="29">
                  <c:v>1020</c:v>
                </c:pt>
                <c:pt idx="30">
                  <c:v>1120</c:v>
                </c:pt>
                <c:pt idx="31">
                  <c:v>1121</c:v>
                </c:pt>
                <c:pt idx="32">
                  <c:v>1122</c:v>
                </c:pt>
                <c:pt idx="33">
                  <c:v>1221</c:v>
                </c:pt>
                <c:pt idx="34">
                  <c:v>1222</c:v>
                </c:pt>
                <c:pt idx="35">
                  <c:v>1223</c:v>
                </c:pt>
                <c:pt idx="36">
                  <c:v>1230</c:v>
                </c:pt>
                <c:pt idx="37">
                  <c:v>1240</c:v>
                </c:pt>
                <c:pt idx="38">
                  <c:v>1250</c:v>
                </c:pt>
              </c:numCache>
            </c:numRef>
          </c:xVal>
          <c:yVal>
            <c:numRef>
              <c:f>Sheet1!$C$2:$C$40</c:f>
              <c:numCache>
                <c:formatCode>General</c:formatCode>
                <c:ptCount val="39"/>
                <c:pt idx="0">
                  <c:v>2.0408163265306123</c:v>
                </c:pt>
                <c:pt idx="1">
                  <c:v>2.0202020202020203</c:v>
                </c:pt>
                <c:pt idx="2">
                  <c:v>1.57339175463055</c:v>
                </c:pt>
                <c:pt idx="3">
                  <c:v>1.7632241813602016</c:v>
                </c:pt>
                <c:pt idx="4">
                  <c:v>1.7543859649122806</c:v>
                </c:pt>
                <c:pt idx="5">
                  <c:v>1.7456359102244388</c:v>
                </c:pt>
                <c:pt idx="6">
                  <c:v>1.8425460636515913</c:v>
                </c:pt>
                <c:pt idx="7">
                  <c:v>1.8363939899833055</c:v>
                </c:pt>
                <c:pt idx="8">
                  <c:v>1.8302828618968388</c:v>
                </c:pt>
                <c:pt idx="9">
                  <c:v>1.7543859649122806</c:v>
                </c:pt>
                <c:pt idx="10">
                  <c:v>1.7500000000000002</c:v>
                </c:pt>
                <c:pt idx="11">
                  <c:v>1.8726591760299627</c:v>
                </c:pt>
                <c:pt idx="12">
                  <c:v>1.8036072144288577</c:v>
                </c:pt>
                <c:pt idx="13">
                  <c:v>1.7694691592522289</c:v>
                </c:pt>
                <c:pt idx="14">
                  <c:v>1.7964071856287425</c:v>
                </c:pt>
                <c:pt idx="15">
                  <c:v>1.8363939899833055</c:v>
                </c:pt>
                <c:pt idx="16">
                  <c:v>1.8333333333333333</c:v>
                </c:pt>
                <c:pt idx="17">
                  <c:v>1.8302828618968388</c:v>
                </c:pt>
                <c:pt idx="18">
                  <c:v>1.7869907076483202</c:v>
                </c:pt>
                <c:pt idx="19">
                  <c:v>1.7844396859386153</c:v>
                </c:pt>
                <c:pt idx="20">
                  <c:v>1.7818959372772631</c:v>
                </c:pt>
                <c:pt idx="21">
                  <c:v>1.813633520950594</c:v>
                </c:pt>
                <c:pt idx="22">
                  <c:v>1.811367895065584</c:v>
                </c:pt>
                <c:pt idx="23">
                  <c:v>1.8091079226450406</c:v>
                </c:pt>
                <c:pt idx="24">
                  <c:v>1.7608176415041963</c:v>
                </c:pt>
                <c:pt idx="25">
                  <c:v>1.7758046614872365</c:v>
                </c:pt>
                <c:pt idx="26">
                  <c:v>1.7738359201773837</c:v>
                </c:pt>
                <c:pt idx="27">
                  <c:v>1.7542106052276427</c:v>
                </c:pt>
                <c:pt idx="28">
                  <c:v>1.7982017982018099</c:v>
                </c:pt>
                <c:pt idx="29">
                  <c:v>1.7964071856287425</c:v>
                </c:pt>
                <c:pt idx="30">
                  <c:v>1.7719218537028625</c:v>
                </c:pt>
                <c:pt idx="31">
                  <c:v>1.7703132092600999</c:v>
                </c:pt>
                <c:pt idx="32">
                  <c:v>1.7687074829931975</c:v>
                </c:pt>
                <c:pt idx="33">
                  <c:v>1.7924135056273449</c:v>
                </c:pt>
                <c:pt idx="34">
                  <c:v>1.7612524461839605</c:v>
                </c:pt>
                <c:pt idx="35">
                  <c:v>1.7894298793175198</c:v>
                </c:pt>
                <c:pt idx="36">
                  <c:v>1.7790649565577161</c:v>
                </c:pt>
                <c:pt idx="37">
                  <c:v>1.764464505539598</c:v>
                </c:pt>
                <c:pt idx="38">
                  <c:v>1.8329938900203666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3A-4734-9024-2C9880303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724224"/>
        <c:axId val="1568725184"/>
      </c:scatterChart>
      <c:valAx>
        <c:axId val="156872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8725184"/>
        <c:crosses val="autoZero"/>
        <c:crossBetween val="midCat"/>
      </c:valAx>
      <c:valAx>
        <c:axId val="15687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872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负信号精度误差（</a:t>
            </a:r>
            <a:r>
              <a:rPr lang="en-US" altLang="zh-CN"/>
              <a:t>%</a:t>
            </a:r>
            <a:r>
              <a:rPr lang="zh-CN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精度误差（%）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Sheet1!$M$2:$M$40</c:f>
              <c:numCache>
                <c:formatCode>General</c:formatCode>
                <c:ptCount val="39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202</c:v>
                </c:pt>
                <c:pt idx="4">
                  <c:v>203</c:v>
                </c:pt>
                <c:pt idx="5">
                  <c:v>204</c:v>
                </c:pt>
                <c:pt idx="6">
                  <c:v>304</c:v>
                </c:pt>
                <c:pt idx="7">
                  <c:v>305</c:v>
                </c:pt>
                <c:pt idx="8">
                  <c:v>306</c:v>
                </c:pt>
                <c:pt idx="9">
                  <c:v>406</c:v>
                </c:pt>
                <c:pt idx="10">
                  <c:v>407</c:v>
                </c:pt>
                <c:pt idx="11">
                  <c:v>408</c:v>
                </c:pt>
                <c:pt idx="12">
                  <c:v>508</c:v>
                </c:pt>
                <c:pt idx="13">
                  <c:v>509</c:v>
                </c:pt>
                <c:pt idx="14">
                  <c:v>510</c:v>
                </c:pt>
                <c:pt idx="15">
                  <c:v>610</c:v>
                </c:pt>
                <c:pt idx="16">
                  <c:v>611</c:v>
                </c:pt>
                <c:pt idx="17">
                  <c:v>612</c:v>
                </c:pt>
                <c:pt idx="18">
                  <c:v>712</c:v>
                </c:pt>
                <c:pt idx="19">
                  <c:v>713</c:v>
                </c:pt>
                <c:pt idx="20">
                  <c:v>714</c:v>
                </c:pt>
                <c:pt idx="21">
                  <c:v>814</c:v>
                </c:pt>
                <c:pt idx="22">
                  <c:v>815</c:v>
                </c:pt>
                <c:pt idx="23">
                  <c:v>816</c:v>
                </c:pt>
                <c:pt idx="24">
                  <c:v>916</c:v>
                </c:pt>
                <c:pt idx="25">
                  <c:v>917</c:v>
                </c:pt>
                <c:pt idx="26">
                  <c:v>919</c:v>
                </c:pt>
                <c:pt idx="27">
                  <c:v>1019</c:v>
                </c:pt>
                <c:pt idx="28">
                  <c:v>1020</c:v>
                </c:pt>
                <c:pt idx="29">
                  <c:v>1021</c:v>
                </c:pt>
                <c:pt idx="30">
                  <c:v>1121</c:v>
                </c:pt>
                <c:pt idx="31">
                  <c:v>1122</c:v>
                </c:pt>
                <c:pt idx="32">
                  <c:v>1123</c:v>
                </c:pt>
                <c:pt idx="33">
                  <c:v>1223</c:v>
                </c:pt>
                <c:pt idx="34">
                  <c:v>1224</c:v>
                </c:pt>
                <c:pt idx="35">
                  <c:v>1225</c:v>
                </c:pt>
                <c:pt idx="36">
                  <c:v>1230</c:v>
                </c:pt>
                <c:pt idx="37">
                  <c:v>1240</c:v>
                </c:pt>
                <c:pt idx="38">
                  <c:v>1250</c:v>
                </c:pt>
              </c:numCache>
            </c:numRef>
          </c:xVal>
          <c:yVal>
            <c:numRef>
              <c:f>Sheet1!$O$2:$O$40</c:f>
              <c:numCache>
                <c:formatCode>0.0000_ </c:formatCode>
                <c:ptCount val="39"/>
                <c:pt idx="0">
                  <c:v>2.0408163265306123</c:v>
                </c:pt>
                <c:pt idx="1">
                  <c:v>2.0202020202020203</c:v>
                </c:pt>
                <c:pt idx="2">
                  <c:v>1.5986851934857356</c:v>
                </c:pt>
                <c:pt idx="3">
                  <c:v>1.7632241813602016</c:v>
                </c:pt>
                <c:pt idx="4">
                  <c:v>1.7543859649122806</c:v>
                </c:pt>
                <c:pt idx="5">
                  <c:v>1.7456359102244388</c:v>
                </c:pt>
                <c:pt idx="6">
                  <c:v>1.8425460636515913</c:v>
                </c:pt>
                <c:pt idx="7">
                  <c:v>1.8363939899833055</c:v>
                </c:pt>
                <c:pt idx="8">
                  <c:v>1.8302828618968388</c:v>
                </c:pt>
                <c:pt idx="9">
                  <c:v>1.7798947104537537</c:v>
                </c:pt>
                <c:pt idx="10">
                  <c:v>1.877346683354193</c:v>
                </c:pt>
                <c:pt idx="11">
                  <c:v>1.8726591760299627</c:v>
                </c:pt>
                <c:pt idx="12">
                  <c:v>1.9057171514543632</c:v>
                </c:pt>
                <c:pt idx="13">
                  <c:v>1.9019019019019021</c:v>
                </c:pt>
                <c:pt idx="14">
                  <c:v>1.8981018981019098</c:v>
                </c:pt>
                <c:pt idx="15">
                  <c:v>2.0066889632107023</c:v>
                </c:pt>
                <c:pt idx="16">
                  <c:v>2.003338898163606</c:v>
                </c:pt>
                <c:pt idx="17">
                  <c:v>2</c:v>
                </c:pt>
                <c:pt idx="18">
                  <c:v>2.005730659025788</c:v>
                </c:pt>
                <c:pt idx="19">
                  <c:v>2.0028612303290414</c:v>
                </c:pt>
                <c:pt idx="20">
                  <c:v>2</c:v>
                </c:pt>
                <c:pt idx="21">
                  <c:v>2.0689655172413794</c:v>
                </c:pt>
                <c:pt idx="22">
                  <c:v>2.0663744520976834</c:v>
                </c:pt>
                <c:pt idx="23">
                  <c:v>2.0637898686679175</c:v>
                </c:pt>
                <c:pt idx="24">
                  <c:v>2.1181716833890749</c:v>
                </c:pt>
                <c:pt idx="25">
                  <c:v>2.1158129175946545</c:v>
                </c:pt>
                <c:pt idx="26">
                  <c:v>2.1111111111111112</c:v>
                </c:pt>
                <c:pt idx="27">
                  <c:v>2.1042084168336674</c:v>
                </c:pt>
                <c:pt idx="28">
                  <c:v>2.1532298447671505</c:v>
                </c:pt>
                <c:pt idx="29">
                  <c:v>2.1045947067617998</c:v>
                </c:pt>
                <c:pt idx="30">
                  <c:v>2.1412300683371299</c:v>
                </c:pt>
                <c:pt idx="31">
                  <c:v>2.1392808375056895</c:v>
                </c:pt>
                <c:pt idx="32">
                  <c:v>2.0955497977180739</c:v>
                </c:pt>
                <c:pt idx="33">
                  <c:v>2.1720969089390141</c:v>
                </c:pt>
                <c:pt idx="34">
                  <c:v>2.1702838063439067</c:v>
                </c:pt>
                <c:pt idx="35">
                  <c:v>2.1684737281067559</c:v>
                </c:pt>
                <c:pt idx="36">
                  <c:v>2.1594684385382057</c:v>
                </c:pt>
                <c:pt idx="37">
                  <c:v>2.1837659662134321</c:v>
                </c:pt>
                <c:pt idx="38">
                  <c:v>2.5006047535680369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53-4BC6-A8C6-648A7A9B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691104"/>
        <c:axId val="1568683424"/>
      </c:scatterChart>
      <c:valAx>
        <c:axId val="156869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8683424"/>
        <c:crosses val="autoZero"/>
        <c:crossBetween val="midCat"/>
      </c:valAx>
      <c:valAx>
        <c:axId val="156868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869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1421378</xdr:colOff>
      <xdr:row>0</xdr:row>
      <xdr:rowOff>0</xdr:rowOff>
    </xdr:from>
    <xdr:to>
      <xdr:col>11</xdr:col>
      <xdr:colOff>653143</xdr:colOff>
      <xdr:row>17</xdr:row>
      <xdr:rowOff>9071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2077E58A-941E-0E10-2A7B-0546CAA56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1421378</xdr:colOff>
      <xdr:row>17</xdr:row>
      <xdr:rowOff>18028</xdr:rowOff>
    </xdr:from>
    <xdr:to>
      <xdr:col>12</xdr:col>
      <xdr:colOff>0</xdr:colOff>
      <xdr:row>37</xdr:row>
      <xdr:rowOff>108856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134B563D-2D7F-0864-906C-C1820785F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zoomScale="70" zoomScaleNormal="70" workbookViewId="0">
      <selection activeCell="O46" sqref="O46"/>
    </sheetView>
  </sheetViews>
  <sheetFormatPr defaultRowHeight="14" x14ac:dyDescent="0.3"/>
  <cols>
    <col min="1" max="1" width="17.4140625" customWidth="1"/>
    <col min="2" max="2" width="17.9140625" customWidth="1"/>
    <col min="3" max="3" width="14.25" customWidth="1"/>
    <col min="4" max="4" width="18.6640625" customWidth="1"/>
    <col min="5" max="5" width="49.1640625" customWidth="1"/>
    <col min="13" max="13" width="16.9140625" customWidth="1"/>
    <col min="14" max="14" width="16.08203125" customWidth="1"/>
    <col min="15" max="15" width="15.83203125" customWidth="1"/>
    <col min="16" max="16" width="19.91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M1" s="1" t="s">
        <v>4</v>
      </c>
      <c r="N1" s="1" t="s">
        <v>1</v>
      </c>
      <c r="O1" s="1" t="s">
        <v>2</v>
      </c>
      <c r="P1" s="1" t="s">
        <v>3</v>
      </c>
    </row>
    <row r="2" spans="1:16" x14ac:dyDescent="0.3">
      <c r="A2" s="1">
        <v>100</v>
      </c>
      <c r="B2" s="1">
        <v>0.19600000000000001</v>
      </c>
      <c r="C2" s="5">
        <f>IF(P2="", "", (M2 - P2) / P2 * 100)</f>
        <v>2.0408163265306123</v>
      </c>
      <c r="D2" s="1">
        <f>B2*500</f>
        <v>98</v>
      </c>
      <c r="M2" s="1">
        <v>100</v>
      </c>
      <c r="N2" s="1">
        <v>0.19600000000000001</v>
      </c>
      <c r="O2" s="6">
        <f>IF(P2="", "", (M2 - P2) / P2 * 100)</f>
        <v>2.0408163265306123</v>
      </c>
      <c r="P2" s="1">
        <f>N2*500</f>
        <v>98</v>
      </c>
    </row>
    <row r="3" spans="1:16" x14ac:dyDescent="0.3">
      <c r="A3" s="1">
        <v>101</v>
      </c>
      <c r="B3" s="1">
        <v>0.19800000000000001</v>
      </c>
      <c r="C3" s="5">
        <f t="shared" ref="C3:C40" si="0">IF(D3="", "", (A3 - D3) / D3 * 100)</f>
        <v>2.0202020202020203</v>
      </c>
      <c r="D3" s="1">
        <f t="shared" ref="D3:D40" si="1">B3*500</f>
        <v>99</v>
      </c>
      <c r="M3" s="1">
        <v>101</v>
      </c>
      <c r="N3" s="1">
        <v>0.19800000000000001</v>
      </c>
      <c r="O3" s="6">
        <f t="shared" ref="O3:O40" si="2">IF(P3="", "", (M3 - P3) / P3 * 100)</f>
        <v>2.0202020202020203</v>
      </c>
      <c r="P3" s="1">
        <f t="shared" ref="P3:P40" si="3">N3*500</f>
        <v>99</v>
      </c>
    </row>
    <row r="4" spans="1:16" x14ac:dyDescent="0.3">
      <c r="A4" s="1">
        <v>102</v>
      </c>
      <c r="B4" s="1">
        <v>0.20083999999999999</v>
      </c>
      <c r="C4" s="5">
        <f t="shared" si="0"/>
        <v>1.57339175463055</v>
      </c>
      <c r="D4" s="1">
        <f t="shared" si="1"/>
        <v>100.42</v>
      </c>
      <c r="M4" s="1">
        <v>102</v>
      </c>
      <c r="N4" s="1">
        <v>0.20079</v>
      </c>
      <c r="O4" s="6">
        <f t="shared" si="2"/>
        <v>1.5986851934857356</v>
      </c>
      <c r="P4" s="1">
        <f t="shared" si="3"/>
        <v>100.395</v>
      </c>
    </row>
    <row r="5" spans="1:16" x14ac:dyDescent="0.3">
      <c r="A5" s="1">
        <v>202</v>
      </c>
      <c r="B5" s="1">
        <v>0.39700000000000002</v>
      </c>
      <c r="C5" s="5">
        <f t="shared" si="0"/>
        <v>1.7632241813602016</v>
      </c>
      <c r="D5" s="1">
        <f t="shared" si="1"/>
        <v>198.5</v>
      </c>
      <c r="M5" s="1">
        <v>202</v>
      </c>
      <c r="N5" s="1">
        <v>0.39700000000000002</v>
      </c>
      <c r="O5" s="6">
        <f t="shared" si="2"/>
        <v>1.7632241813602016</v>
      </c>
      <c r="P5" s="1">
        <f t="shared" si="3"/>
        <v>198.5</v>
      </c>
    </row>
    <row r="6" spans="1:16" x14ac:dyDescent="0.3">
      <c r="A6" s="1">
        <v>203</v>
      </c>
      <c r="B6" s="1">
        <v>0.39900000000000002</v>
      </c>
      <c r="C6" s="5">
        <f t="shared" si="0"/>
        <v>1.7543859649122806</v>
      </c>
      <c r="D6" s="1">
        <f t="shared" si="1"/>
        <v>199.5</v>
      </c>
      <c r="M6" s="1">
        <v>203</v>
      </c>
      <c r="N6" s="1">
        <v>0.39900000000000002</v>
      </c>
      <c r="O6" s="6">
        <f t="shared" si="2"/>
        <v>1.7543859649122806</v>
      </c>
      <c r="P6" s="1">
        <f t="shared" si="3"/>
        <v>199.5</v>
      </c>
    </row>
    <row r="7" spans="1:16" x14ac:dyDescent="0.3">
      <c r="A7" s="1">
        <v>204</v>
      </c>
      <c r="B7" s="1">
        <v>0.40100000000000002</v>
      </c>
      <c r="C7" s="5">
        <f t="shared" si="0"/>
        <v>1.7456359102244388</v>
      </c>
      <c r="D7" s="1">
        <f t="shared" si="1"/>
        <v>200.5</v>
      </c>
      <c r="M7" s="1">
        <v>204</v>
      </c>
      <c r="N7" s="1">
        <v>0.40100000000000002</v>
      </c>
      <c r="O7" s="6">
        <f t="shared" si="2"/>
        <v>1.7456359102244388</v>
      </c>
      <c r="P7" s="1">
        <f t="shared" si="3"/>
        <v>200.5</v>
      </c>
    </row>
    <row r="8" spans="1:16" x14ac:dyDescent="0.3">
      <c r="A8" s="1">
        <v>304</v>
      </c>
      <c r="B8" s="1">
        <v>0.59699999999999998</v>
      </c>
      <c r="C8" s="5">
        <f>IF(D8="", "", (A8 - D8) / D8 * 100)</f>
        <v>1.8425460636515913</v>
      </c>
      <c r="D8" s="1">
        <f t="shared" si="1"/>
        <v>298.5</v>
      </c>
      <c r="M8" s="1">
        <v>304</v>
      </c>
      <c r="N8" s="1">
        <v>0.59699999999999998</v>
      </c>
      <c r="O8" s="6">
        <f t="shared" si="2"/>
        <v>1.8425460636515913</v>
      </c>
      <c r="P8" s="1">
        <f t="shared" si="3"/>
        <v>298.5</v>
      </c>
    </row>
    <row r="9" spans="1:16" x14ac:dyDescent="0.3">
      <c r="A9" s="1">
        <v>305</v>
      </c>
      <c r="B9" s="1">
        <v>0.59899999999999998</v>
      </c>
      <c r="C9" s="5">
        <f t="shared" si="0"/>
        <v>1.8363939899833055</v>
      </c>
      <c r="D9" s="1">
        <f t="shared" si="1"/>
        <v>299.5</v>
      </c>
      <c r="M9" s="1">
        <v>305</v>
      </c>
      <c r="N9" s="1">
        <v>0.59899999999999998</v>
      </c>
      <c r="O9" s="6">
        <f t="shared" si="2"/>
        <v>1.8363939899833055</v>
      </c>
      <c r="P9" s="1">
        <f t="shared" si="3"/>
        <v>299.5</v>
      </c>
    </row>
    <row r="10" spans="1:16" x14ac:dyDescent="0.3">
      <c r="A10" s="1">
        <v>306</v>
      </c>
      <c r="B10" s="1">
        <v>0.60099999999999998</v>
      </c>
      <c r="C10" s="5">
        <f t="shared" si="0"/>
        <v>1.8302828618968388</v>
      </c>
      <c r="D10" s="1">
        <f t="shared" si="1"/>
        <v>300.5</v>
      </c>
      <c r="M10" s="1">
        <v>306</v>
      </c>
      <c r="N10" s="1">
        <v>0.60099999999999998</v>
      </c>
      <c r="O10" s="6">
        <f t="shared" si="2"/>
        <v>1.8302828618968388</v>
      </c>
      <c r="P10" s="1">
        <f t="shared" si="3"/>
        <v>300.5</v>
      </c>
    </row>
    <row r="11" spans="1:16" x14ac:dyDescent="0.3">
      <c r="A11" s="1">
        <v>406</v>
      </c>
      <c r="B11" s="1">
        <v>0.79800000000000004</v>
      </c>
      <c r="C11" s="5">
        <f t="shared" si="0"/>
        <v>1.7543859649122806</v>
      </c>
      <c r="D11" s="1">
        <f t="shared" si="1"/>
        <v>399</v>
      </c>
      <c r="M11" s="1">
        <v>406</v>
      </c>
      <c r="N11" s="1">
        <v>0.79779999999999995</v>
      </c>
      <c r="O11" s="6">
        <f t="shared" si="2"/>
        <v>1.7798947104537537</v>
      </c>
      <c r="P11" s="1">
        <f t="shared" si="3"/>
        <v>398.9</v>
      </c>
    </row>
    <row r="12" spans="1:16" x14ac:dyDescent="0.3">
      <c r="A12" s="1">
        <v>407</v>
      </c>
      <c r="B12" s="1">
        <v>0.8</v>
      </c>
      <c r="C12" s="5">
        <f t="shared" si="0"/>
        <v>1.7500000000000002</v>
      </c>
      <c r="D12" s="1">
        <f t="shared" si="1"/>
        <v>400</v>
      </c>
      <c r="M12" s="1">
        <v>407</v>
      </c>
      <c r="N12" s="1">
        <v>0.79900000000000004</v>
      </c>
      <c r="O12" s="6">
        <f t="shared" si="2"/>
        <v>1.877346683354193</v>
      </c>
      <c r="P12" s="1">
        <f t="shared" si="3"/>
        <v>399.5</v>
      </c>
    </row>
    <row r="13" spans="1:16" x14ac:dyDescent="0.3">
      <c r="A13" s="1">
        <v>408</v>
      </c>
      <c r="B13" s="1">
        <v>0.80100000000000005</v>
      </c>
      <c r="C13" s="5">
        <f t="shared" si="0"/>
        <v>1.8726591760299627</v>
      </c>
      <c r="D13" s="1">
        <f t="shared" si="1"/>
        <v>400.5</v>
      </c>
      <c r="M13" s="1">
        <v>408</v>
      </c>
      <c r="N13" s="1">
        <v>0.80100000000000005</v>
      </c>
      <c r="O13" s="6">
        <f t="shared" si="2"/>
        <v>1.8726591760299627</v>
      </c>
      <c r="P13" s="1">
        <f t="shared" si="3"/>
        <v>400.5</v>
      </c>
    </row>
    <row r="14" spans="1:16" x14ac:dyDescent="0.3">
      <c r="A14" s="1">
        <v>508</v>
      </c>
      <c r="B14" s="1">
        <v>0.998</v>
      </c>
      <c r="C14" s="5">
        <f t="shared" si="0"/>
        <v>1.8036072144288577</v>
      </c>
      <c r="D14" s="1">
        <f t="shared" si="1"/>
        <v>499</v>
      </c>
      <c r="M14" s="1">
        <v>508</v>
      </c>
      <c r="N14" s="1">
        <v>0.997</v>
      </c>
      <c r="O14" s="6">
        <f t="shared" si="2"/>
        <v>1.9057171514543632</v>
      </c>
      <c r="P14" s="1">
        <f t="shared" si="3"/>
        <v>498.5</v>
      </c>
    </row>
    <row r="15" spans="1:16" x14ac:dyDescent="0.3">
      <c r="A15" s="1">
        <v>509</v>
      </c>
      <c r="B15" s="1">
        <v>1.0003</v>
      </c>
      <c r="C15" s="5">
        <f t="shared" si="0"/>
        <v>1.7694691592522289</v>
      </c>
      <c r="D15" s="1">
        <f t="shared" si="1"/>
        <v>500.15</v>
      </c>
      <c r="M15" s="1">
        <v>509</v>
      </c>
      <c r="N15" s="1">
        <v>0.999</v>
      </c>
      <c r="O15" s="6">
        <f t="shared" si="2"/>
        <v>1.9019019019019021</v>
      </c>
      <c r="P15" s="1">
        <f t="shared" si="3"/>
        <v>499.5</v>
      </c>
    </row>
    <row r="16" spans="1:16" x14ac:dyDescent="0.3">
      <c r="A16" s="1">
        <v>510</v>
      </c>
      <c r="B16" s="1">
        <v>1.002</v>
      </c>
      <c r="C16" s="5">
        <f t="shared" si="0"/>
        <v>1.7964071856287425</v>
      </c>
      <c r="D16" s="1">
        <f t="shared" si="1"/>
        <v>501</v>
      </c>
      <c r="M16" s="1">
        <v>510</v>
      </c>
      <c r="N16" s="1">
        <v>1.0009999999999999</v>
      </c>
      <c r="O16" s="6">
        <f t="shared" si="2"/>
        <v>1.8981018981019098</v>
      </c>
      <c r="P16" s="1">
        <f t="shared" si="3"/>
        <v>500.49999999999994</v>
      </c>
    </row>
    <row r="17" spans="1:16" x14ac:dyDescent="0.3">
      <c r="A17" s="1">
        <v>610</v>
      </c>
      <c r="B17" s="1">
        <v>1.198</v>
      </c>
      <c r="C17" s="5">
        <f t="shared" si="0"/>
        <v>1.8363939899833055</v>
      </c>
      <c r="D17" s="1">
        <f t="shared" si="1"/>
        <v>599</v>
      </c>
      <c r="M17" s="1">
        <v>610</v>
      </c>
      <c r="N17" s="1">
        <v>1.196</v>
      </c>
      <c r="O17" s="6">
        <f t="shared" si="2"/>
        <v>2.0066889632107023</v>
      </c>
      <c r="P17" s="1">
        <f t="shared" si="3"/>
        <v>598</v>
      </c>
    </row>
    <row r="18" spans="1:16" x14ac:dyDescent="0.3">
      <c r="A18" s="1">
        <v>611</v>
      </c>
      <c r="B18" s="1">
        <v>1.2</v>
      </c>
      <c r="C18" s="5">
        <f t="shared" si="0"/>
        <v>1.8333333333333333</v>
      </c>
      <c r="D18" s="1">
        <f t="shared" si="1"/>
        <v>600</v>
      </c>
      <c r="M18" s="1">
        <v>611</v>
      </c>
      <c r="N18" s="1">
        <v>1.198</v>
      </c>
      <c r="O18" s="6">
        <f t="shared" si="2"/>
        <v>2.003338898163606</v>
      </c>
      <c r="P18" s="1">
        <f t="shared" si="3"/>
        <v>599</v>
      </c>
    </row>
    <row r="19" spans="1:16" x14ac:dyDescent="0.3">
      <c r="A19" s="1">
        <v>612</v>
      </c>
      <c r="B19" s="1">
        <v>1.202</v>
      </c>
      <c r="C19" s="5">
        <f t="shared" si="0"/>
        <v>1.8302828618968388</v>
      </c>
      <c r="D19" s="1">
        <f t="shared" si="1"/>
        <v>601</v>
      </c>
      <c r="M19" s="1">
        <v>612</v>
      </c>
      <c r="N19" s="1">
        <v>1.2</v>
      </c>
      <c r="O19" s="6">
        <f t="shared" si="2"/>
        <v>2</v>
      </c>
      <c r="P19" s="1">
        <f t="shared" si="3"/>
        <v>600</v>
      </c>
    </row>
    <row r="20" spans="1:16" x14ac:dyDescent="0.3">
      <c r="A20" s="1">
        <v>712</v>
      </c>
      <c r="B20" s="1">
        <v>1.399</v>
      </c>
      <c r="C20" s="5">
        <f t="shared" si="0"/>
        <v>1.7869907076483202</v>
      </c>
      <c r="D20" s="1">
        <f t="shared" si="1"/>
        <v>699.5</v>
      </c>
      <c r="M20" s="1">
        <v>712</v>
      </c>
      <c r="N20" s="1">
        <v>1.3959999999999999</v>
      </c>
      <c r="O20" s="6">
        <f t="shared" si="2"/>
        <v>2.005730659025788</v>
      </c>
      <c r="P20" s="1">
        <f t="shared" si="3"/>
        <v>698</v>
      </c>
    </row>
    <row r="21" spans="1:16" x14ac:dyDescent="0.3">
      <c r="A21" s="1">
        <v>713</v>
      </c>
      <c r="B21" s="1">
        <v>1.401</v>
      </c>
      <c r="C21" s="5">
        <f t="shared" si="0"/>
        <v>1.7844396859386153</v>
      </c>
      <c r="D21" s="1">
        <f t="shared" si="1"/>
        <v>700.5</v>
      </c>
      <c r="M21" s="1">
        <v>713</v>
      </c>
      <c r="N21" s="1">
        <v>1.3979999999999999</v>
      </c>
      <c r="O21" s="6">
        <f t="shared" si="2"/>
        <v>2.0028612303290414</v>
      </c>
      <c r="P21" s="1">
        <f t="shared" si="3"/>
        <v>699</v>
      </c>
    </row>
    <row r="22" spans="1:16" x14ac:dyDescent="0.3">
      <c r="A22" s="1">
        <v>714</v>
      </c>
      <c r="B22" s="1">
        <v>1.403</v>
      </c>
      <c r="C22" s="5">
        <f t="shared" si="0"/>
        <v>1.7818959372772631</v>
      </c>
      <c r="D22" s="1">
        <f t="shared" si="1"/>
        <v>701.5</v>
      </c>
      <c r="M22" s="1">
        <v>714</v>
      </c>
      <c r="N22" s="1">
        <v>1.4</v>
      </c>
      <c r="O22" s="6">
        <f t="shared" si="2"/>
        <v>2</v>
      </c>
      <c r="P22" s="1">
        <f t="shared" si="3"/>
        <v>700</v>
      </c>
    </row>
    <row r="23" spans="1:16" x14ac:dyDescent="0.3">
      <c r="A23" s="1">
        <v>814</v>
      </c>
      <c r="B23" s="1">
        <v>1.599</v>
      </c>
      <c r="C23" s="5">
        <f t="shared" si="0"/>
        <v>1.813633520950594</v>
      </c>
      <c r="D23" s="1">
        <f t="shared" si="1"/>
        <v>799.5</v>
      </c>
      <c r="M23" s="1">
        <v>814</v>
      </c>
      <c r="N23" s="1">
        <v>1.595</v>
      </c>
      <c r="O23" s="6">
        <f t="shared" si="2"/>
        <v>2.0689655172413794</v>
      </c>
      <c r="P23" s="1">
        <f t="shared" si="3"/>
        <v>797.5</v>
      </c>
    </row>
    <row r="24" spans="1:16" x14ac:dyDescent="0.3">
      <c r="A24" s="1">
        <v>815</v>
      </c>
      <c r="B24" s="1">
        <v>1.601</v>
      </c>
      <c r="C24" s="5">
        <f t="shared" si="0"/>
        <v>1.811367895065584</v>
      </c>
      <c r="D24" s="1">
        <f t="shared" si="1"/>
        <v>800.5</v>
      </c>
      <c r="M24" s="1">
        <v>815</v>
      </c>
      <c r="N24" s="1">
        <v>1.597</v>
      </c>
      <c r="O24" s="6">
        <f t="shared" si="2"/>
        <v>2.0663744520976834</v>
      </c>
      <c r="P24" s="1">
        <f t="shared" si="3"/>
        <v>798.5</v>
      </c>
    </row>
    <row r="25" spans="1:16" x14ac:dyDescent="0.3">
      <c r="A25" s="1">
        <v>816</v>
      </c>
      <c r="B25" s="1">
        <v>1.603</v>
      </c>
      <c r="C25" s="5">
        <f t="shared" si="0"/>
        <v>1.8091079226450406</v>
      </c>
      <c r="D25" s="1">
        <f t="shared" si="1"/>
        <v>801.5</v>
      </c>
      <c r="M25" s="1">
        <v>816</v>
      </c>
      <c r="N25" s="1">
        <v>1.599</v>
      </c>
      <c r="O25" s="6">
        <f t="shared" si="2"/>
        <v>2.0637898686679175</v>
      </c>
      <c r="P25" s="1">
        <f t="shared" si="3"/>
        <v>799.5</v>
      </c>
    </row>
    <row r="26" spans="1:16" x14ac:dyDescent="0.3">
      <c r="A26" s="1">
        <v>916</v>
      </c>
      <c r="B26" s="1">
        <v>1.8003</v>
      </c>
      <c r="C26" s="5">
        <f t="shared" si="0"/>
        <v>1.7608176415041963</v>
      </c>
      <c r="D26" s="1">
        <f t="shared" si="1"/>
        <v>900.15</v>
      </c>
      <c r="M26" s="1">
        <v>916</v>
      </c>
      <c r="N26" s="1">
        <v>1.794</v>
      </c>
      <c r="O26" s="6">
        <f t="shared" si="2"/>
        <v>2.1181716833890749</v>
      </c>
      <c r="P26" s="1">
        <f t="shared" si="3"/>
        <v>897</v>
      </c>
    </row>
    <row r="27" spans="1:16" x14ac:dyDescent="0.3">
      <c r="A27" s="1">
        <v>917</v>
      </c>
      <c r="B27" s="1">
        <v>1.802</v>
      </c>
      <c r="C27" s="5">
        <f t="shared" si="0"/>
        <v>1.7758046614872365</v>
      </c>
      <c r="D27" s="1">
        <f t="shared" si="1"/>
        <v>901</v>
      </c>
      <c r="M27" s="1">
        <v>917</v>
      </c>
      <c r="N27" s="1">
        <v>1.796</v>
      </c>
      <c r="O27" s="6">
        <f t="shared" si="2"/>
        <v>2.1158129175946545</v>
      </c>
      <c r="P27" s="1">
        <f t="shared" si="3"/>
        <v>898</v>
      </c>
    </row>
    <row r="28" spans="1:16" x14ac:dyDescent="0.3">
      <c r="A28" s="1">
        <v>918</v>
      </c>
      <c r="B28" s="1">
        <v>1.804</v>
      </c>
      <c r="C28" s="5">
        <f t="shared" si="0"/>
        <v>1.7738359201773837</v>
      </c>
      <c r="D28" s="1">
        <f t="shared" si="1"/>
        <v>902</v>
      </c>
      <c r="M28" s="1">
        <v>919</v>
      </c>
      <c r="N28" s="1">
        <v>1.8</v>
      </c>
      <c r="O28" s="6">
        <f t="shared" si="2"/>
        <v>2.1111111111111112</v>
      </c>
      <c r="P28" s="1">
        <f t="shared" si="3"/>
        <v>900</v>
      </c>
    </row>
    <row r="29" spans="1:16" x14ac:dyDescent="0.3">
      <c r="A29" s="1">
        <v>1018</v>
      </c>
      <c r="B29" s="1">
        <v>2.0009000000000001</v>
      </c>
      <c r="C29" s="5">
        <f t="shared" si="0"/>
        <v>1.7542106052276427</v>
      </c>
      <c r="D29" s="1">
        <f t="shared" si="1"/>
        <v>1000.45</v>
      </c>
      <c r="M29" s="1">
        <v>1019</v>
      </c>
      <c r="N29" s="1">
        <v>1.996</v>
      </c>
      <c r="O29" s="6">
        <f t="shared" si="2"/>
        <v>2.1042084168336674</v>
      </c>
      <c r="P29" s="1">
        <f t="shared" si="3"/>
        <v>998</v>
      </c>
    </row>
    <row r="30" spans="1:16" x14ac:dyDescent="0.3">
      <c r="A30" s="1">
        <v>1019</v>
      </c>
      <c r="B30" s="1">
        <v>2.0019999999999998</v>
      </c>
      <c r="C30" s="5">
        <f t="shared" si="0"/>
        <v>1.7982017982018099</v>
      </c>
      <c r="D30" s="1">
        <f t="shared" si="1"/>
        <v>1000.9999999999999</v>
      </c>
      <c r="M30" s="1">
        <v>1020</v>
      </c>
      <c r="N30" s="1">
        <v>1.9970000000000001</v>
      </c>
      <c r="O30" s="6">
        <f t="shared" si="2"/>
        <v>2.1532298447671505</v>
      </c>
      <c r="P30" s="1">
        <f t="shared" si="3"/>
        <v>998.5</v>
      </c>
    </row>
    <row r="31" spans="1:16" x14ac:dyDescent="0.3">
      <c r="A31" s="1">
        <v>1020</v>
      </c>
      <c r="B31" s="1">
        <v>2.004</v>
      </c>
      <c r="C31" s="5">
        <f t="shared" si="0"/>
        <v>1.7964071856287425</v>
      </c>
      <c r="D31" s="1">
        <f t="shared" si="1"/>
        <v>1002</v>
      </c>
      <c r="M31" s="1">
        <v>1021</v>
      </c>
      <c r="N31" s="1">
        <v>1.9999100000000001</v>
      </c>
      <c r="O31" s="6">
        <f t="shared" si="2"/>
        <v>2.1045947067617998</v>
      </c>
      <c r="P31" s="1">
        <f t="shared" si="3"/>
        <v>999.95500000000004</v>
      </c>
    </row>
    <row r="32" spans="1:16" x14ac:dyDescent="0.3">
      <c r="A32" s="1">
        <v>1120</v>
      </c>
      <c r="B32" s="1">
        <v>2.2010000000000001</v>
      </c>
      <c r="C32" s="5">
        <f t="shared" si="0"/>
        <v>1.7719218537028625</v>
      </c>
      <c r="D32" s="1">
        <f t="shared" si="1"/>
        <v>1100.5</v>
      </c>
      <c r="M32" s="1">
        <v>1121</v>
      </c>
      <c r="N32" s="1">
        <v>2.1949999999999998</v>
      </c>
      <c r="O32" s="6">
        <f t="shared" si="2"/>
        <v>2.1412300683371299</v>
      </c>
      <c r="P32" s="1">
        <f t="shared" si="3"/>
        <v>1097.5</v>
      </c>
    </row>
    <row r="33" spans="1:16" x14ac:dyDescent="0.3">
      <c r="A33" s="1">
        <v>1121</v>
      </c>
      <c r="B33" s="1">
        <v>2.2029999999999998</v>
      </c>
      <c r="C33" s="5">
        <f t="shared" si="0"/>
        <v>1.7703132092600999</v>
      </c>
      <c r="D33" s="1">
        <f t="shared" si="1"/>
        <v>1101.5</v>
      </c>
      <c r="M33" s="1">
        <v>1122</v>
      </c>
      <c r="N33" s="1">
        <v>2.1970000000000001</v>
      </c>
      <c r="O33" s="6">
        <f t="shared" si="2"/>
        <v>2.1392808375056895</v>
      </c>
      <c r="P33" s="1">
        <f t="shared" si="3"/>
        <v>1098.5</v>
      </c>
    </row>
    <row r="34" spans="1:16" x14ac:dyDescent="0.3">
      <c r="A34" s="1">
        <v>1122</v>
      </c>
      <c r="B34" s="1">
        <v>2.2050000000000001</v>
      </c>
      <c r="C34" s="5">
        <f t="shared" si="0"/>
        <v>1.7687074829931975</v>
      </c>
      <c r="D34" s="1">
        <f t="shared" si="1"/>
        <v>1102.5</v>
      </c>
      <c r="M34" s="1">
        <v>1123</v>
      </c>
      <c r="N34" s="1">
        <v>2.1999</v>
      </c>
      <c r="O34" s="6">
        <f t="shared" si="2"/>
        <v>2.0955497977180739</v>
      </c>
      <c r="P34" s="1">
        <f t="shared" si="3"/>
        <v>1099.95</v>
      </c>
    </row>
    <row r="35" spans="1:16" x14ac:dyDescent="0.3">
      <c r="A35" s="1">
        <v>1221</v>
      </c>
      <c r="B35" s="1">
        <v>2.399</v>
      </c>
      <c r="C35" s="5">
        <f t="shared" si="0"/>
        <v>1.7924135056273449</v>
      </c>
      <c r="D35" s="1">
        <f t="shared" si="1"/>
        <v>1199.5</v>
      </c>
      <c r="M35" s="1">
        <v>1223</v>
      </c>
      <c r="N35" s="1">
        <v>2.3940000000000001</v>
      </c>
      <c r="O35" s="6">
        <f t="shared" si="2"/>
        <v>2.1720969089390141</v>
      </c>
      <c r="P35" s="1">
        <f t="shared" si="3"/>
        <v>1197</v>
      </c>
    </row>
    <row r="36" spans="1:16" x14ac:dyDescent="0.3">
      <c r="A36" s="1">
        <v>1222</v>
      </c>
      <c r="B36" s="1">
        <v>2.4016999999999999</v>
      </c>
      <c r="C36" s="5">
        <f t="shared" si="0"/>
        <v>1.7612524461839605</v>
      </c>
      <c r="D36" s="1">
        <f t="shared" si="1"/>
        <v>1200.8499999999999</v>
      </c>
      <c r="M36" s="1">
        <v>1224</v>
      </c>
      <c r="N36" s="1">
        <v>2.3959999999999999</v>
      </c>
      <c r="O36" s="6">
        <f t="shared" si="2"/>
        <v>2.1702838063439067</v>
      </c>
      <c r="P36" s="1">
        <f t="shared" si="3"/>
        <v>1198</v>
      </c>
    </row>
    <row r="37" spans="1:16" x14ac:dyDescent="0.3">
      <c r="A37" s="1">
        <v>1223</v>
      </c>
      <c r="B37" s="1">
        <v>2.403</v>
      </c>
      <c r="C37" s="5">
        <f t="shared" si="0"/>
        <v>1.7894298793175198</v>
      </c>
      <c r="D37" s="1">
        <f t="shared" si="1"/>
        <v>1201.5</v>
      </c>
      <c r="M37" s="1">
        <v>1225</v>
      </c>
      <c r="N37" s="1">
        <v>2.3980000000000001</v>
      </c>
      <c r="O37" s="6">
        <f t="shared" si="2"/>
        <v>2.1684737281067559</v>
      </c>
      <c r="P37" s="1">
        <f t="shared" si="3"/>
        <v>1199</v>
      </c>
    </row>
    <row r="38" spans="1:16" x14ac:dyDescent="0.3">
      <c r="A38" s="1">
        <v>1230</v>
      </c>
      <c r="B38" s="1">
        <v>2.4169999999999998</v>
      </c>
      <c r="C38" s="5">
        <f t="shared" si="0"/>
        <v>1.7790649565577161</v>
      </c>
      <c r="D38" s="1">
        <f t="shared" si="1"/>
        <v>1208.5</v>
      </c>
      <c r="M38" s="1">
        <v>1230</v>
      </c>
      <c r="N38" s="1">
        <v>2.4079999999999999</v>
      </c>
      <c r="O38" s="6">
        <f t="shared" si="2"/>
        <v>2.1594684385382057</v>
      </c>
      <c r="P38" s="1">
        <f t="shared" si="3"/>
        <v>1204</v>
      </c>
    </row>
    <row r="39" spans="1:16" x14ac:dyDescent="0.3">
      <c r="A39" s="1">
        <v>1240</v>
      </c>
      <c r="B39" s="1">
        <v>2.4369999999999998</v>
      </c>
      <c r="C39" s="5">
        <f t="shared" si="0"/>
        <v>1.764464505539598</v>
      </c>
      <c r="D39" s="1">
        <f t="shared" si="1"/>
        <v>1218.5</v>
      </c>
      <c r="M39" s="1">
        <v>1240</v>
      </c>
      <c r="N39" s="1">
        <v>2.427</v>
      </c>
      <c r="O39" s="6">
        <f t="shared" si="2"/>
        <v>2.1837659662134321</v>
      </c>
      <c r="P39" s="1">
        <f t="shared" si="3"/>
        <v>1213.5</v>
      </c>
    </row>
    <row r="40" spans="1:16" x14ac:dyDescent="0.3">
      <c r="A40" s="1">
        <v>1250</v>
      </c>
      <c r="B40" s="1">
        <v>2.4550000000000001</v>
      </c>
      <c r="C40" s="5">
        <f t="shared" si="0"/>
        <v>1.8329938900203666</v>
      </c>
      <c r="D40" s="1">
        <f t="shared" si="1"/>
        <v>1227.5</v>
      </c>
      <c r="M40" s="1">
        <v>1250</v>
      </c>
      <c r="N40" s="1">
        <v>2.4390100000000001</v>
      </c>
      <c r="O40" s="6">
        <f t="shared" si="2"/>
        <v>2.5006047535680369</v>
      </c>
      <c r="P40" s="1">
        <f t="shared" si="3"/>
        <v>1219.5050000000001</v>
      </c>
    </row>
    <row r="41" spans="1:16" ht="30" x14ac:dyDescent="0.6">
      <c r="E41" s="2" t="s">
        <v>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EB86-0FB2-4C93-BF4C-CA8B687269A9}">
  <dimension ref="A1:K32"/>
  <sheetViews>
    <sheetView zoomScale="85" zoomScaleNormal="85" workbookViewId="0">
      <selection activeCell="F29" sqref="F29"/>
    </sheetView>
  </sheetViews>
  <sheetFormatPr defaultRowHeight="14" x14ac:dyDescent="0.3"/>
  <cols>
    <col min="1" max="1" width="12.9140625" customWidth="1"/>
    <col min="2" max="2" width="17.08203125" customWidth="1"/>
    <col min="3" max="3" width="20.08203125" customWidth="1"/>
    <col min="4" max="4" width="18.75" customWidth="1"/>
    <col min="5" max="5" width="15.9140625" customWidth="1"/>
    <col min="6" max="6" width="19.1640625" customWidth="1"/>
    <col min="7" max="7" width="18" customWidth="1"/>
    <col min="8" max="8" width="20.08203125" customWidth="1"/>
    <col min="9" max="9" width="14.83203125" customWidth="1"/>
    <col min="10" max="10" width="20.25" customWidth="1"/>
    <col min="11" max="11" width="14.1640625" customWidth="1"/>
    <col min="12" max="12" width="15" customWidth="1"/>
    <col min="13" max="13" width="15.83203125" customWidth="1"/>
    <col min="14" max="14" width="12.75" customWidth="1"/>
  </cols>
  <sheetData>
    <row r="1" spans="1:11" x14ac:dyDescent="0.3">
      <c r="A1" s="3" t="s">
        <v>16</v>
      </c>
      <c r="B1" s="1" t="s">
        <v>17</v>
      </c>
      <c r="C1" s="1" t="s">
        <v>19</v>
      </c>
      <c r="D1" s="1" t="s">
        <v>18</v>
      </c>
      <c r="E1" s="1" t="s">
        <v>30</v>
      </c>
      <c r="G1" s="3" t="s">
        <v>16</v>
      </c>
      <c r="H1" s="1" t="s">
        <v>21</v>
      </c>
      <c r="I1" s="1" t="s">
        <v>20</v>
      </c>
      <c r="J1" s="1" t="s">
        <v>29</v>
      </c>
      <c r="K1" s="1" t="s">
        <v>30</v>
      </c>
    </row>
    <row r="2" spans="1:11" x14ac:dyDescent="0.3">
      <c r="A2" s="3" t="s">
        <v>6</v>
      </c>
      <c r="B2" s="1">
        <v>20</v>
      </c>
      <c r="C2" s="1">
        <v>21.4</v>
      </c>
      <c r="D2" s="1">
        <f xml:space="preserve"> ((C2 - B2) / B2) * 100</f>
        <v>6.999999999999992</v>
      </c>
      <c r="E2" s="4">
        <f>20*LOG10(C2/B2)</f>
        <v>0.58767555370419156</v>
      </c>
      <c r="G2" s="1" t="s">
        <v>22</v>
      </c>
      <c r="H2" s="1">
        <v>8</v>
      </c>
      <c r="I2" s="1">
        <v>6.2</v>
      </c>
      <c r="J2" s="1">
        <f t="shared" ref="J2:J3" si="0">(H2-I2)/H2*100</f>
        <v>22.499999999999996</v>
      </c>
      <c r="K2" s="4">
        <f>20*LOG10(I2/H2)</f>
        <v>-2.2139659498737938</v>
      </c>
    </row>
    <row r="3" spans="1:11" x14ac:dyDescent="0.3">
      <c r="A3" s="3" t="s">
        <v>7</v>
      </c>
      <c r="B3" s="1">
        <v>20</v>
      </c>
      <c r="C3" s="1">
        <v>21</v>
      </c>
      <c r="D3" s="1">
        <f t="shared" ref="D3:D13" si="1" xml:space="preserve"> ((C3 - B3) / B3) * 100</f>
        <v>5</v>
      </c>
      <c r="E3" s="4">
        <f t="shared" ref="E3:E32" si="2">20*LOG10(C3/B3)</f>
        <v>0.42378598139876184</v>
      </c>
      <c r="G3" s="1" t="s">
        <v>23</v>
      </c>
      <c r="H3" s="1">
        <v>15</v>
      </c>
      <c r="I3" s="1">
        <v>13</v>
      </c>
      <c r="J3" s="1">
        <f t="shared" si="0"/>
        <v>13.333333333333334</v>
      </c>
      <c r="K3" s="4">
        <f t="shared" ref="K3:K15" si="3">20*LOG10(I3/H3)</f>
        <v>-1.2429581349768892</v>
      </c>
    </row>
    <row r="4" spans="1:11" x14ac:dyDescent="0.3">
      <c r="A4" s="3" t="s">
        <v>8</v>
      </c>
      <c r="B4" s="1">
        <v>20</v>
      </c>
      <c r="C4" s="1">
        <v>20.8</v>
      </c>
      <c r="D4" s="1">
        <f t="shared" si="1"/>
        <v>4.0000000000000036</v>
      </c>
      <c r="E4" s="4">
        <f t="shared" si="2"/>
        <v>0.3406667859756074</v>
      </c>
      <c r="G4" s="3" t="s">
        <v>6</v>
      </c>
      <c r="H4" s="1">
        <v>20</v>
      </c>
      <c r="I4" s="1">
        <v>19.399999999999999</v>
      </c>
      <c r="J4" s="1">
        <f>(H4-I4)/H4*100</f>
        <v>3.0000000000000071</v>
      </c>
      <c r="K4" s="4">
        <f t="shared" si="3"/>
        <v>-0.26456531467510319</v>
      </c>
    </row>
    <row r="5" spans="1:11" x14ac:dyDescent="0.3">
      <c r="A5" s="3" t="s">
        <v>9</v>
      </c>
      <c r="B5" s="1">
        <v>20</v>
      </c>
      <c r="C5" s="1">
        <v>20.8</v>
      </c>
      <c r="D5" s="1">
        <f t="shared" si="1"/>
        <v>4.0000000000000036</v>
      </c>
      <c r="E5" s="4">
        <f t="shared" si="2"/>
        <v>0.3406667859756074</v>
      </c>
      <c r="G5" s="3" t="s">
        <v>7</v>
      </c>
      <c r="H5" s="1">
        <v>20</v>
      </c>
      <c r="I5" s="1">
        <v>19.399999999999999</v>
      </c>
      <c r="J5" s="1">
        <f t="shared" ref="J5:J15" si="4">(H5-I5)/H5*100</f>
        <v>3.0000000000000071</v>
      </c>
      <c r="K5" s="4">
        <f t="shared" si="3"/>
        <v>-0.26456531467510319</v>
      </c>
    </row>
    <row r="6" spans="1:11" x14ac:dyDescent="0.3">
      <c r="A6" s="3" t="s">
        <v>10</v>
      </c>
      <c r="B6" s="1">
        <v>20</v>
      </c>
      <c r="C6" s="1">
        <v>20.399999999999999</v>
      </c>
      <c r="D6" s="1">
        <f t="shared" si="1"/>
        <v>1.9999999999999927</v>
      </c>
      <c r="E6" s="4">
        <f t="shared" si="2"/>
        <v>0.17200343523835138</v>
      </c>
      <c r="G6" s="3" t="s">
        <v>8</v>
      </c>
      <c r="H6" s="1">
        <v>20</v>
      </c>
      <c r="I6" s="1">
        <v>19.399999999999999</v>
      </c>
      <c r="J6" s="1">
        <f t="shared" si="4"/>
        <v>3.0000000000000071</v>
      </c>
      <c r="K6" s="4">
        <f t="shared" si="3"/>
        <v>-0.26456531467510319</v>
      </c>
    </row>
    <row r="7" spans="1:11" x14ac:dyDescent="0.3">
      <c r="A7" s="3" t="s">
        <v>11</v>
      </c>
      <c r="B7" s="1">
        <v>20</v>
      </c>
      <c r="C7" s="1">
        <v>20</v>
      </c>
      <c r="D7" s="1">
        <f t="shared" si="1"/>
        <v>0</v>
      </c>
      <c r="E7" s="4">
        <f t="shared" si="2"/>
        <v>0</v>
      </c>
      <c r="G7" s="3" t="s">
        <v>9</v>
      </c>
      <c r="H7" s="1">
        <v>20</v>
      </c>
      <c r="I7" s="1">
        <v>19.600000000000001</v>
      </c>
      <c r="J7" s="1">
        <f t="shared" si="4"/>
        <v>1.9999999999999927</v>
      </c>
      <c r="K7" s="4">
        <f t="shared" si="3"/>
        <v>-0.17547848615010203</v>
      </c>
    </row>
    <row r="8" spans="1:11" x14ac:dyDescent="0.3">
      <c r="A8" s="3" t="s">
        <v>12</v>
      </c>
      <c r="B8" s="1">
        <v>20</v>
      </c>
      <c r="C8" s="1">
        <v>20</v>
      </c>
      <c r="D8" s="1">
        <f t="shared" si="1"/>
        <v>0</v>
      </c>
      <c r="E8" s="4">
        <f t="shared" si="2"/>
        <v>0</v>
      </c>
      <c r="G8" s="3" t="s">
        <v>10</v>
      </c>
      <c r="H8" s="1">
        <v>20</v>
      </c>
      <c r="I8" s="1">
        <v>19.399999999999999</v>
      </c>
      <c r="J8" s="1">
        <f t="shared" si="4"/>
        <v>3.0000000000000071</v>
      </c>
      <c r="K8" s="4">
        <f t="shared" si="3"/>
        <v>-0.26456531467510319</v>
      </c>
    </row>
    <row r="9" spans="1:11" x14ac:dyDescent="0.3">
      <c r="A9" s="3" t="s">
        <v>13</v>
      </c>
      <c r="B9" s="1">
        <v>20</v>
      </c>
      <c r="C9" s="1">
        <v>20.399999999999999</v>
      </c>
      <c r="D9" s="1">
        <f t="shared" si="1"/>
        <v>1.9999999999999927</v>
      </c>
      <c r="E9" s="4">
        <f t="shared" si="2"/>
        <v>0.17200343523835138</v>
      </c>
      <c r="G9" s="3" t="s">
        <v>11</v>
      </c>
      <c r="H9" s="1">
        <v>20</v>
      </c>
      <c r="I9" s="1">
        <v>19.2</v>
      </c>
      <c r="J9" s="1">
        <f t="shared" si="4"/>
        <v>4.0000000000000036</v>
      </c>
      <c r="K9" s="4">
        <f t="shared" si="3"/>
        <v>-0.35457533920863205</v>
      </c>
    </row>
    <row r="10" spans="1:11" x14ac:dyDescent="0.3">
      <c r="A10" s="3" t="s">
        <v>14</v>
      </c>
      <c r="B10" s="1">
        <v>20</v>
      </c>
      <c r="C10" s="1">
        <v>20.8</v>
      </c>
      <c r="D10" s="1">
        <f t="shared" si="1"/>
        <v>4.0000000000000036</v>
      </c>
      <c r="E10" s="4">
        <f t="shared" si="2"/>
        <v>0.3406667859756074</v>
      </c>
      <c r="G10" s="3" t="s">
        <v>12</v>
      </c>
      <c r="H10" s="1">
        <v>20</v>
      </c>
      <c r="I10" s="1">
        <v>19.399999999999999</v>
      </c>
      <c r="J10" s="1">
        <f t="shared" si="4"/>
        <v>3.0000000000000071</v>
      </c>
      <c r="K10" s="4">
        <f t="shared" si="3"/>
        <v>-0.26456531467510319</v>
      </c>
    </row>
    <row r="11" spans="1:11" x14ac:dyDescent="0.3">
      <c r="A11" s="3" t="s">
        <v>15</v>
      </c>
      <c r="B11" s="1">
        <v>20</v>
      </c>
      <c r="C11" s="1">
        <v>20.8</v>
      </c>
      <c r="D11" s="1">
        <f t="shared" si="1"/>
        <v>4.0000000000000036</v>
      </c>
      <c r="E11" s="4">
        <f t="shared" si="2"/>
        <v>0.3406667859756074</v>
      </c>
      <c r="G11" s="3" t="s">
        <v>13</v>
      </c>
      <c r="H11" s="1">
        <v>20</v>
      </c>
      <c r="I11" s="1">
        <v>19.399999999999999</v>
      </c>
      <c r="J11" s="1">
        <f t="shared" si="4"/>
        <v>3.0000000000000071</v>
      </c>
      <c r="K11" s="4">
        <f t="shared" si="3"/>
        <v>-0.26456531467510319</v>
      </c>
    </row>
    <row r="12" spans="1:11" x14ac:dyDescent="0.3">
      <c r="A12" s="3">
        <v>500</v>
      </c>
      <c r="B12" s="1">
        <v>20</v>
      </c>
      <c r="C12" s="1">
        <v>20.2</v>
      </c>
      <c r="D12" s="1">
        <f t="shared" si="1"/>
        <v>0.99999999999999634</v>
      </c>
      <c r="E12" s="4">
        <f t="shared" si="2"/>
        <v>8.6427475652851568E-2</v>
      </c>
      <c r="G12" s="3" t="s">
        <v>14</v>
      </c>
      <c r="H12" s="1">
        <v>20</v>
      </c>
      <c r="I12" s="1">
        <v>18.399999999999999</v>
      </c>
      <c r="J12" s="1">
        <f t="shared" si="4"/>
        <v>8.0000000000000071</v>
      </c>
      <c r="K12" s="4">
        <f t="shared" si="3"/>
        <v>-0.72424345308889526</v>
      </c>
    </row>
    <row r="13" spans="1:11" x14ac:dyDescent="0.3">
      <c r="A13" s="3">
        <v>50</v>
      </c>
      <c r="B13" s="1">
        <v>20</v>
      </c>
      <c r="C13" s="1">
        <v>20</v>
      </c>
      <c r="D13" s="1">
        <f t="shared" si="1"/>
        <v>0</v>
      </c>
      <c r="E13" s="4">
        <f t="shared" si="2"/>
        <v>0</v>
      </c>
      <c r="G13" s="3" t="s">
        <v>15</v>
      </c>
      <c r="H13" s="1">
        <v>20</v>
      </c>
      <c r="I13" s="1">
        <v>18.399999999999999</v>
      </c>
      <c r="J13" s="1">
        <f t="shared" si="4"/>
        <v>8.0000000000000071</v>
      </c>
      <c r="K13" s="4">
        <f t="shared" si="3"/>
        <v>-0.72424345308889526</v>
      </c>
    </row>
    <row r="14" spans="1:11" x14ac:dyDescent="0.3">
      <c r="G14" s="3">
        <v>500</v>
      </c>
      <c r="H14" s="1">
        <v>20</v>
      </c>
      <c r="I14" s="1">
        <v>18.399999999999999</v>
      </c>
      <c r="J14" s="1">
        <f t="shared" si="4"/>
        <v>8.0000000000000071</v>
      </c>
      <c r="K14" s="4">
        <f t="shared" si="3"/>
        <v>-0.72424345308889526</v>
      </c>
    </row>
    <row r="15" spans="1:11" x14ac:dyDescent="0.3">
      <c r="G15" s="3">
        <v>50</v>
      </c>
      <c r="H15" s="1">
        <v>20</v>
      </c>
      <c r="I15" s="1">
        <v>18.399999999999999</v>
      </c>
      <c r="J15" s="1">
        <f t="shared" si="4"/>
        <v>8.0000000000000071</v>
      </c>
      <c r="K15" s="4">
        <f t="shared" si="3"/>
        <v>-0.72424345308889526</v>
      </c>
    </row>
    <row r="17" spans="1:5" x14ac:dyDescent="0.3">
      <c r="A17" s="3" t="s">
        <v>16</v>
      </c>
      <c r="B17" s="1" t="s">
        <v>21</v>
      </c>
      <c r="C17" s="1" t="s">
        <v>20</v>
      </c>
      <c r="D17" s="1" t="s">
        <v>29</v>
      </c>
      <c r="E17" s="1" t="s">
        <v>30</v>
      </c>
    </row>
    <row r="18" spans="1:5" x14ac:dyDescent="0.3">
      <c r="A18" s="3" t="s">
        <v>22</v>
      </c>
      <c r="B18" s="1">
        <v>5</v>
      </c>
      <c r="C18" s="1">
        <v>4.32</v>
      </c>
      <c r="D18" s="1">
        <f>(C18-B18)/B18*100</f>
        <v>-13.599999999999996</v>
      </c>
      <c r="E18" s="4">
        <f>20*LOG10(C18/B18)</f>
        <v>-1.2697251504221332</v>
      </c>
    </row>
    <row r="19" spans="1:5" x14ac:dyDescent="0.3">
      <c r="A19" s="3" t="s">
        <v>23</v>
      </c>
      <c r="B19" s="1">
        <v>5</v>
      </c>
      <c r="C19" s="1">
        <v>4.49</v>
      </c>
      <c r="D19" s="1">
        <f t="shared" ref="D19:D32" si="5">(C19-B19)/B19*100</f>
        <v>-10.199999999999996</v>
      </c>
      <c r="E19" s="4">
        <f t="shared" ref="E19:E32" si="6">20*LOG10(C19/B19)</f>
        <v>-0.93447326665391239</v>
      </c>
    </row>
    <row r="20" spans="1:5" x14ac:dyDescent="0.3">
      <c r="A20" s="3" t="s">
        <v>24</v>
      </c>
      <c r="B20" s="1">
        <v>5</v>
      </c>
      <c r="C20" s="1">
        <v>4.59</v>
      </c>
      <c r="D20" s="1">
        <f t="shared" si="5"/>
        <v>-8.2000000000000028</v>
      </c>
      <c r="E20" s="4">
        <f t="shared" si="6"/>
        <v>-0.74314637597515198</v>
      </c>
    </row>
    <row r="21" spans="1:5" x14ac:dyDescent="0.3">
      <c r="A21" s="3" t="s">
        <v>6</v>
      </c>
      <c r="B21" s="1">
        <v>5</v>
      </c>
      <c r="C21" s="1">
        <v>4.74</v>
      </c>
      <c r="D21" s="1">
        <f t="shared" si="5"/>
        <v>-5.1999999999999957</v>
      </c>
      <c r="E21" s="4">
        <f t="shared" si="6"/>
        <v>-0.4638332532386743</v>
      </c>
    </row>
    <row r="22" spans="1:5" x14ac:dyDescent="0.3">
      <c r="A22" s="3" t="s">
        <v>10</v>
      </c>
      <c r="B22" s="1">
        <v>5</v>
      </c>
      <c r="C22" s="1">
        <v>4.8</v>
      </c>
      <c r="D22" s="1">
        <f t="shared" si="5"/>
        <v>-4.0000000000000036</v>
      </c>
      <c r="E22" s="4">
        <f t="shared" si="6"/>
        <v>-0.35457533920863205</v>
      </c>
    </row>
    <row r="23" spans="1:5" x14ac:dyDescent="0.3">
      <c r="A23" s="3" t="s">
        <v>25</v>
      </c>
      <c r="B23" s="1">
        <v>5</v>
      </c>
      <c r="C23" s="1">
        <v>4.8</v>
      </c>
      <c r="D23" s="1">
        <f t="shared" si="5"/>
        <v>-4.0000000000000036</v>
      </c>
      <c r="E23" s="4">
        <f t="shared" si="6"/>
        <v>-0.35457533920863205</v>
      </c>
    </row>
    <row r="24" spans="1:5" x14ac:dyDescent="0.3">
      <c r="A24" s="3" t="s">
        <v>26</v>
      </c>
      <c r="B24" s="1">
        <v>5</v>
      </c>
      <c r="C24" s="1">
        <v>4.8</v>
      </c>
      <c r="D24" s="1">
        <f t="shared" si="5"/>
        <v>-4.0000000000000036</v>
      </c>
      <c r="E24" s="4">
        <f t="shared" si="6"/>
        <v>-0.35457533920863205</v>
      </c>
    </row>
    <row r="25" spans="1:5" x14ac:dyDescent="0.3">
      <c r="A25" s="3" t="s">
        <v>27</v>
      </c>
      <c r="B25" s="1">
        <v>5</v>
      </c>
      <c r="C25" s="1">
        <v>4.79</v>
      </c>
      <c r="D25" s="1">
        <f t="shared" si="5"/>
        <v>-4.1999999999999993</v>
      </c>
      <c r="E25" s="4">
        <f t="shared" si="6"/>
        <v>-0.37268981842911209</v>
      </c>
    </row>
    <row r="26" spans="1:5" x14ac:dyDescent="0.3">
      <c r="A26" s="3" t="s">
        <v>12</v>
      </c>
      <c r="B26" s="1">
        <v>5</v>
      </c>
      <c r="C26" s="1">
        <v>4.83</v>
      </c>
      <c r="D26" s="1">
        <f t="shared" si="5"/>
        <v>-3.399999999999999</v>
      </c>
      <c r="E26" s="4">
        <f t="shared" si="6"/>
        <v>-0.30045747169013343</v>
      </c>
    </row>
    <row r="27" spans="1:5" x14ac:dyDescent="0.3">
      <c r="A27" s="3" t="s">
        <v>13</v>
      </c>
      <c r="B27" s="1">
        <v>5</v>
      </c>
      <c r="C27" s="1">
        <v>4.8600000000000003</v>
      </c>
      <c r="D27" s="1">
        <f t="shared" si="5"/>
        <v>-2.7999999999999936</v>
      </c>
      <c r="E27" s="4">
        <f t="shared" si="6"/>
        <v>-0.24667470147450771</v>
      </c>
    </row>
    <row r="28" spans="1:5" x14ac:dyDescent="0.3">
      <c r="A28" s="3" t="s">
        <v>14</v>
      </c>
      <c r="B28" s="1">
        <v>5</v>
      </c>
      <c r="C28" s="1">
        <v>4.8899999999999997</v>
      </c>
      <c r="D28" s="1">
        <f t="shared" si="5"/>
        <v>-2.2000000000000064</v>
      </c>
      <c r="E28" s="4">
        <f t="shared" si="6"/>
        <v>-0.19322290424797137</v>
      </c>
    </row>
    <row r="29" spans="1:5" x14ac:dyDescent="0.3">
      <c r="A29" s="3" t="s">
        <v>28</v>
      </c>
      <c r="B29" s="1">
        <v>5</v>
      </c>
      <c r="C29" s="1">
        <v>4.91</v>
      </c>
      <c r="D29" s="1">
        <f t="shared" si="5"/>
        <v>-1.7999999999999972</v>
      </c>
      <c r="E29" s="4">
        <f t="shared" si="6"/>
        <v>-0.1577702442610068</v>
      </c>
    </row>
    <row r="30" spans="1:5" x14ac:dyDescent="0.3">
      <c r="A30" s="3" t="s">
        <v>15</v>
      </c>
      <c r="B30" s="1">
        <v>5</v>
      </c>
      <c r="C30" s="1">
        <v>5</v>
      </c>
      <c r="D30" s="1">
        <f t="shared" si="5"/>
        <v>0</v>
      </c>
      <c r="E30" s="4">
        <f t="shared" si="6"/>
        <v>0</v>
      </c>
    </row>
    <row r="31" spans="1:5" x14ac:dyDescent="0.3">
      <c r="A31" s="1">
        <v>100</v>
      </c>
      <c r="B31" s="1">
        <v>5</v>
      </c>
      <c r="C31" s="1">
        <v>4.96</v>
      </c>
      <c r="D31" s="1">
        <f t="shared" si="5"/>
        <v>-0.80000000000000071</v>
      </c>
      <c r="E31" s="4">
        <f t="shared" si="6"/>
        <v>-6.9766556916426942E-2</v>
      </c>
    </row>
    <row r="32" spans="1:5" x14ac:dyDescent="0.3">
      <c r="A32" s="1">
        <v>50</v>
      </c>
      <c r="B32" s="1">
        <v>5</v>
      </c>
      <c r="C32" s="1">
        <v>4.99</v>
      </c>
      <c r="D32" s="1">
        <f t="shared" si="5"/>
        <v>-0.19999999999999576</v>
      </c>
      <c r="E32" s="4">
        <f t="shared" si="6"/>
        <v>-1.7389174252577827E-2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Nico.MPS</dc:creator>
  <cp:lastModifiedBy>落尘 欧阳</cp:lastModifiedBy>
  <dcterms:created xsi:type="dcterms:W3CDTF">2015-06-05T18:19:34Z</dcterms:created>
  <dcterms:modified xsi:type="dcterms:W3CDTF">2025-11-21T06:07:53Z</dcterms:modified>
</cp:coreProperties>
</file>